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hint\Desktop\Data Analytics\Assignments\"/>
    </mc:Choice>
  </mc:AlternateContent>
  <xr:revisionPtr revIDLastSave="0" documentId="13_ncr:1_{F51EA8CB-DCE5-469E-A118-AA3F4DFCC1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Dataset!$A$1:$H$35</definedName>
  </definedNames>
  <calcPr calcId="181029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2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P2" i="2"/>
  <c r="G3" i="2"/>
  <c r="H3" i="2" s="1"/>
  <c r="G4" i="2"/>
  <c r="H4" i="2" s="1"/>
  <c r="G5" i="2"/>
  <c r="H5" i="2" s="1"/>
  <c r="G6" i="2"/>
  <c r="H6" i="2" s="1"/>
  <c r="G7" i="2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G22" i="2"/>
  <c r="H22" i="2" s="1"/>
  <c r="G23" i="2"/>
  <c r="H23" i="2" s="1"/>
  <c r="G24" i="2"/>
  <c r="H24" i="2" s="1"/>
  <c r="G25" i="2"/>
  <c r="H25" i="2" s="1"/>
  <c r="G26" i="2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2" i="2"/>
  <c r="H2" i="2" s="1"/>
  <c r="H7" i="2" l="1"/>
  <c r="H21" i="2"/>
  <c r="H26" i="2"/>
</calcChain>
</file>

<file path=xl/sharedStrings.xml><?xml version="1.0" encoding="utf-8"?>
<sst xmlns="http://schemas.openxmlformats.org/spreadsheetml/2006/main" count="164" uniqueCount="131">
  <si>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</si>
  <si>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</si>
  <si>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</si>
  <si>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</si>
  <si>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</si>
  <si>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</si>
  <si>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</si>
  <si>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</si>
  <si>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</si>
  <si>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</si>
  <si>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</si>
  <si>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</si>
  <si>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</si>
  <si>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</si>
  <si>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</si>
  <si>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</si>
  <si>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</si>
  <si>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</si>
  <si>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</si>
  <si>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</si>
  <si>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</si>
  <si>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</si>
  <si>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</si>
  <si>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</si>
  <si>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</si>
  <si>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</si>
  <si>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</si>
  <si>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</si>
  <si>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</si>
  <si>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</si>
  <si>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</si>
  <si>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</si>
  <si>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</si>
  <si>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</si>
  <si>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</si>
  <si>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</si>
  <si>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</si>
  <si>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</si>
  <si>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</si>
  <si>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</si>
  <si>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</si>
  <si>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</si>
  <si>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</si>
  <si>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</si>
  <si>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</si>
  <si>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</si>
  <si>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</si>
  <si>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</si>
  <si>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</si>
  <si>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</si>
  <si>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</si>
  <si>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</si>
  <si>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</si>
  <si>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</si>
  <si>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</si>
  <si>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</si>
  <si>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</si>
  <si>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</si>
  <si>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</si>
  <si>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</si>
  <si>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</si>
  <si>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</si>
  <si>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</si>
  <si>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</si>
  <si>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</si>
  <si>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</si>
  <si>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</si>
  <si>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</si>
  <si>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</si>
  <si>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</si>
  <si>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</si>
  <si>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</si>
  <si>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</si>
  <si>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</si>
  <si>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</si>
  <si>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</si>
  <si>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</si>
  <si>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</si>
  <si>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</si>
  <si>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</si>
  <si>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</si>
  <si>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</si>
  <si>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</si>
  <si>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</si>
  <si>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</si>
  <si>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</si>
  <si>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</si>
  <si>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</si>
  <si>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</si>
  <si>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</si>
  <si>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</si>
  <si>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</si>
  <si>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</si>
  <si>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</si>
  <si>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</si>
  <si>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</si>
  <si>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</si>
  <si>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</si>
  <si>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</si>
  <si>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</si>
  <si>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</si>
  <si>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</si>
  <si>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</si>
  <si>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</si>
  <si>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</si>
  <si>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</si>
  <si>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</si>
  <si>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</si>
  <si>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</si>
  <si>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</si>
  <si>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</si>
  <si>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</si>
  <si>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</si>
  <si>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</si>
  <si>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Is Blank (price)</t>
  </si>
  <si>
    <t>Price Average</t>
  </si>
  <si>
    <t>Price (After replacing missing values)</t>
  </si>
  <si>
    <t>Category (Replacing Missing values)</t>
  </si>
  <si>
    <t>Category Mode</t>
  </si>
  <si>
    <t>Isblank() function can be used to find the missing values. Mean (average) is suitable to handle the missing price information</t>
  </si>
  <si>
    <t>Mode is the best option to deal with the missing values in categories column</t>
  </si>
  <si>
    <t>laptop and smartphone</t>
  </si>
  <si>
    <t>Used Find and Replace to correct Product names and categories</t>
  </si>
  <si>
    <t>Removed 3 rows with remove duplicates option. (This cause a change in the average value calculated in the first step)</t>
  </si>
  <si>
    <t>Removing unnecessary char from Product ID</t>
  </si>
  <si>
    <t>Manufacturing Date</t>
  </si>
  <si>
    <t>Country Code</t>
  </si>
  <si>
    <t>Removed unnecessary characters using Trim() function and split the column</t>
  </si>
  <si>
    <t>Product Brand</t>
  </si>
  <si>
    <t>Formatted Manufacturing Date</t>
  </si>
  <si>
    <t xml:space="preserve">As the date is not having a year, I just added a year and formatted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</si>
</sst>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[$$-409]#,##0.00"/>
    <numFmt numFmtId="169" formatCode="dd\-mm\-yyyy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7" fillId="2" borderId="0" xfId="0" applyFont="1" applyFill="1" applyAlignment="1">
      <alignment horizontal="center" wrapText="1"/>
    </xf>
    <xf numFmtId="0" fontId="8" fillId="0" borderId="0" xfId="0" applyFont="1"/>
    <xf numFmtId="0" fontId="10" fillId="2" borderId="0" xfId="0" applyFont="1" applyFill="1" applyAlignment="1">
      <alignment horizontal="center" wrapText="1"/>
    </xf>
    <xf numFmtId="0" fontId="9" fillId="4" borderId="0" xfId="0" applyFont="1" applyFill="1"/>
    <xf numFmtId="0" fontId="0" fillId="4" borderId="0" xfId="0" applyFill="1"/>
    <xf numFmtId="0" fontId="5" fillId="4" borderId="0" xfId="0" applyFont="1" applyFill="1"/>
    <xf numFmtId="14" fontId="10" fillId="2" borderId="0" xfId="0" applyNumberFormat="1" applyFont="1" applyFill="1" applyAlignment="1">
      <alignment horizontal="center" wrapText="1"/>
    </xf>
    <xf numFmtId="14" fontId="0" fillId="0" borderId="0" xfId="0" applyNumberFormat="1"/>
    <xf numFmtId="168" fontId="7" fillId="2" borderId="0" xfId="0" applyNumberFormat="1" applyFont="1" applyFill="1" applyAlignment="1">
      <alignment horizontal="center"/>
    </xf>
    <xf numFmtId="168" fontId="5" fillId="0" borderId="0" xfId="0" applyNumberFormat="1" applyFont="1"/>
    <xf numFmtId="168" fontId="5" fillId="3" borderId="0" xfId="0" applyNumberFormat="1" applyFont="1" applyFill="1"/>
    <xf numFmtId="168" fontId="0" fillId="0" borderId="0" xfId="0" applyNumberFormat="1"/>
    <xf numFmtId="168" fontId="10" fillId="2" borderId="0" xfId="0" applyNumberFormat="1" applyFont="1" applyFill="1" applyAlignment="1">
      <alignment horizontal="center" wrapText="1"/>
    </xf>
    <xf numFmtId="169" fontId="0" fillId="0" borderId="0" xfId="0" applyNumberFormat="1"/>
    <xf numFmtId="14" fontId="9" fillId="0" borderId="0" xfId="0" applyNumberFormat="1" applyFont="1"/>
    <xf numFmtId="0" fontId="0" fillId="5" borderId="1" xfId="0" applyFill="1" applyBorder="1"/>
    <xf numFmtId="0" fontId="8" fillId="5" borderId="1" xfId="0" applyFont="1" applyFill="1" applyBorder="1"/>
    <xf numFmtId="0" fontId="0" fillId="6" borderId="1" xfId="0" applyFill="1" applyBorder="1"/>
    <xf numFmtId="0" fontId="8" fillId="6" borderId="1" xfId="0" applyFont="1" applyFill="1" applyBorder="1"/>
    <xf numFmtId="0" fontId="8" fillId="4" borderId="0" xfId="0" applyFont="1" applyFill="1"/>
  </cellXfs>
  <cellStyles count="1">
    <cellStyle name="Normal" xfId="0" builtinId="0"/>
  </cellStyles>
  <dxfs count="2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2"/>
  <sheetViews>
    <sheetView showGridLines="0" tabSelected="1" workbookViewId="0">
      <selection activeCell="E18" sqref="B13:E19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3" ht="15.75" customHeight="1" x14ac:dyDescent="0.3">
      <c r="A1" s="1" t="s">
        <v>0</v>
      </c>
    </row>
    <row r="2" spans="1:13" ht="15.75" customHeight="1" x14ac:dyDescent="0.25"/>
    <row r="3" spans="1:13" ht="15.75" customHeight="1" x14ac:dyDescent="0.3">
      <c r="B3" s="2" t="s">
        <v>1</v>
      </c>
    </row>
    <row r="4" spans="1:13" ht="15.75" customHeight="1" x14ac:dyDescent="0.35">
      <c r="C4" s="3" t="s">
        <v>2</v>
      </c>
    </row>
    <row r="5" spans="1:13" ht="15.75" customHeight="1" x14ac:dyDescent="0.35">
      <c r="C5" s="3"/>
      <c r="D5" s="12" t="s">
        <v>119</v>
      </c>
      <c r="E5" s="13"/>
      <c r="F5" s="13"/>
      <c r="G5" s="13"/>
      <c r="H5" s="13"/>
      <c r="I5" s="13"/>
      <c r="J5" s="13"/>
      <c r="K5" s="13"/>
    </row>
    <row r="6" spans="1:13" ht="15.75" customHeight="1" x14ac:dyDescent="0.35">
      <c r="B6" s="4"/>
      <c r="C6" s="3" t="s">
        <v>3</v>
      </c>
    </row>
    <row r="7" spans="1:13" ht="15.75" customHeight="1" x14ac:dyDescent="0.35">
      <c r="B7" s="4"/>
      <c r="D7" s="12" t="s">
        <v>120</v>
      </c>
      <c r="E7" s="13"/>
      <c r="F7" s="13"/>
      <c r="G7" s="13"/>
      <c r="H7" s="13"/>
    </row>
    <row r="8" spans="1:13" ht="15.75" customHeight="1" x14ac:dyDescent="0.3">
      <c r="B8" s="2" t="s">
        <v>4</v>
      </c>
    </row>
    <row r="9" spans="1:13" ht="15.75" customHeight="1" x14ac:dyDescent="0.35">
      <c r="C9" s="3" t="s">
        <v>5</v>
      </c>
      <c r="I9" s="12" t="s">
        <v>121</v>
      </c>
      <c r="J9" s="13"/>
    </row>
    <row r="10" spans="1:13" ht="15.75" customHeight="1" x14ac:dyDescent="0.35">
      <c r="C10" s="3" t="s">
        <v>6</v>
      </c>
      <c r="I10" s="12" t="s">
        <v>44</v>
      </c>
    </row>
    <row r="11" spans="1:13" ht="15.75" customHeight="1" x14ac:dyDescent="0.35">
      <c r="C11" s="3" t="s">
        <v>7</v>
      </c>
    </row>
    <row r="12" spans="1:13" ht="15.75" customHeight="1" x14ac:dyDescent="0.35">
      <c r="B12" s="4"/>
      <c r="I12" s="12" t="s">
        <v>122</v>
      </c>
      <c r="J12" s="13"/>
      <c r="K12" s="13"/>
      <c r="L12" s="13"/>
      <c r="M12" s="13"/>
    </row>
    <row r="13" spans="1:13" ht="15.75" customHeight="1" x14ac:dyDescent="0.3">
      <c r="B13" s="2" t="s">
        <v>8</v>
      </c>
    </row>
    <row r="14" spans="1:13" ht="15.75" customHeight="1" x14ac:dyDescent="0.35">
      <c r="B14" s="2"/>
      <c r="C14" s="3" t="s">
        <v>9</v>
      </c>
    </row>
    <row r="15" spans="1:13" ht="15.75" customHeight="1" x14ac:dyDescent="0.25">
      <c r="D15" s="12" t="s">
        <v>123</v>
      </c>
      <c r="E15" s="13"/>
      <c r="F15" s="13"/>
      <c r="G15" s="13"/>
      <c r="H15" s="13"/>
      <c r="I15" s="13"/>
      <c r="J15" s="13"/>
      <c r="K15" s="13"/>
    </row>
    <row r="16" spans="1:13" ht="15.75" customHeight="1" x14ac:dyDescent="0.3">
      <c r="B16" s="2" t="s">
        <v>10</v>
      </c>
      <c r="C16" s="5"/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5">
      <c r="B17" s="5"/>
      <c r="C17" s="3" t="s">
        <v>11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35">
      <c r="B18" s="5"/>
      <c r="C18" s="3"/>
      <c r="D18" s="14" t="s">
        <v>127</v>
      </c>
      <c r="E18" s="14"/>
      <c r="F18" s="14"/>
      <c r="G18" s="14"/>
      <c r="H18" s="14"/>
      <c r="I18" s="5"/>
      <c r="J18" s="5"/>
      <c r="K18" s="5"/>
    </row>
    <row r="19" spans="2:11" ht="15.75" customHeight="1" x14ac:dyDescent="0.35">
      <c r="B19" s="5"/>
      <c r="C19" s="3" t="s">
        <v>12</v>
      </c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2" t="s">
        <v>13</v>
      </c>
      <c r="C21" s="5"/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35">
      <c r="B22" s="5"/>
      <c r="C22" s="3" t="s">
        <v>14</v>
      </c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5">
      <c r="B23" s="5"/>
      <c r="C23" s="3" t="s">
        <v>15</v>
      </c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25">
      <c r="B24" s="5"/>
      <c r="C24" s="5"/>
      <c r="D24" s="28" t="s">
        <v>130</v>
      </c>
      <c r="E24" s="14"/>
      <c r="F24" s="14"/>
      <c r="G24" s="14"/>
      <c r="H24" s="14"/>
      <c r="I24" s="5"/>
      <c r="J24" s="5"/>
      <c r="K24" s="5"/>
    </row>
    <row r="25" spans="2:11" ht="15.75" customHeight="1" x14ac:dyDescent="0.3">
      <c r="B25" s="2" t="s">
        <v>16</v>
      </c>
      <c r="C25" s="5"/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 t="s">
        <v>17</v>
      </c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5">
      <c r="B27" s="5"/>
      <c r="C27" s="3" t="s">
        <v>18</v>
      </c>
      <c r="D27" s="5"/>
      <c r="E27" s="5"/>
      <c r="F27" s="5"/>
      <c r="G27" s="5"/>
      <c r="H27" s="5"/>
      <c r="I27" s="5"/>
      <c r="J27" s="5"/>
      <c r="K27" s="5"/>
    </row>
    <row r="28" spans="2:11" ht="15.75" customHeight="1" x14ac:dyDescent="0.35">
      <c r="B28" s="5"/>
      <c r="C28" s="3"/>
      <c r="D28" s="5"/>
      <c r="E28" s="5"/>
      <c r="F28" s="5"/>
      <c r="G28" s="5"/>
      <c r="H28" s="5"/>
      <c r="I28" s="5"/>
      <c r="J28" s="5"/>
      <c r="K28" s="5"/>
    </row>
    <row r="29" spans="2:11" ht="15.75" customHeight="1" x14ac:dyDescent="0.3">
      <c r="B29" s="5"/>
      <c r="C29" s="5"/>
      <c r="D29" s="6"/>
      <c r="E29" s="5"/>
      <c r="F29" s="5"/>
      <c r="G29" s="5"/>
      <c r="H29" s="5"/>
      <c r="I29" s="5"/>
      <c r="J29" s="5"/>
      <c r="K29" s="5"/>
    </row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000"/>
  <sheetViews>
    <sheetView topLeftCell="B1" zoomScale="90" zoomScaleNormal="90" workbookViewId="0">
      <selection activeCell="O7" sqref="O7"/>
    </sheetView>
  </sheetViews>
  <sheetFormatPr defaultColWidth="12.6328125" defaultRowHeight="15" customHeight="1" x14ac:dyDescent="0.25"/>
  <cols>
    <col min="1" max="1" width="10.54296875" bestFit="1" customWidth="1"/>
    <col min="2" max="2" width="11.81640625" customWidth="1"/>
    <col min="3" max="3" width="11.36328125" bestFit="1" customWidth="1"/>
    <col min="4" max="4" width="9.453125" style="20" bestFit="1" customWidth="1"/>
    <col min="5" max="5" width="8.1796875" bestFit="1" customWidth="1"/>
    <col min="6" max="6" width="10.54296875" bestFit="1" customWidth="1"/>
    <col min="7" max="7" width="12" customWidth="1"/>
    <col min="8" max="8" width="13.26953125" style="20" customWidth="1"/>
    <col min="11" max="11" width="13.7265625" style="16" customWidth="1"/>
    <col min="12" max="12" width="7.6328125" customWidth="1"/>
    <col min="13" max="13" width="21.26953125" bestFit="1" customWidth="1"/>
    <col min="14" max="14" width="13.26953125" customWidth="1"/>
  </cols>
  <sheetData>
    <row r="1" spans="1:17" ht="52" x14ac:dyDescent="0.3">
      <c r="A1" s="7" t="s">
        <v>19</v>
      </c>
      <c r="B1" s="7" t="s">
        <v>20</v>
      </c>
      <c r="C1" s="7" t="s">
        <v>21</v>
      </c>
      <c r="D1" s="17" t="s">
        <v>22</v>
      </c>
      <c r="E1" s="7" t="s">
        <v>23</v>
      </c>
      <c r="F1" s="7" t="s">
        <v>24</v>
      </c>
      <c r="G1" s="9" t="s">
        <v>114</v>
      </c>
      <c r="H1" s="21" t="s">
        <v>116</v>
      </c>
      <c r="I1" s="11" t="s">
        <v>117</v>
      </c>
      <c r="J1" s="11" t="s">
        <v>124</v>
      </c>
      <c r="K1" s="15" t="s">
        <v>125</v>
      </c>
      <c r="L1" s="11" t="s">
        <v>126</v>
      </c>
      <c r="M1" s="11" t="s">
        <v>128</v>
      </c>
      <c r="N1" s="11" t="s">
        <v>129</v>
      </c>
    </row>
    <row r="2" spans="1:17" ht="15.75" customHeight="1" x14ac:dyDescent="0.25">
      <c r="A2" s="10" t="s">
        <v>25</v>
      </c>
      <c r="B2" s="5" t="s">
        <v>59</v>
      </c>
      <c r="C2" s="5" t="s">
        <v>26</v>
      </c>
      <c r="D2" s="18">
        <v>1000</v>
      </c>
      <c r="E2" s="5">
        <v>30</v>
      </c>
      <c r="F2" s="5" t="s">
        <v>27</v>
      </c>
      <c r="G2" t="b">
        <f>ISBLANK(D2)</f>
        <v>0</v>
      </c>
      <c r="H2" s="20">
        <f>IF(G2,$P$2,D2)</f>
        <v>1000</v>
      </c>
      <c r="I2" t="str">
        <f>IF(ISBLANK(F2),"Electronics",F2)</f>
        <v>Electronics</v>
      </c>
      <c r="J2" t="str">
        <f>TRIM(A2)</f>
        <v>28-JAN-US</v>
      </c>
      <c r="K2" s="22" t="str">
        <f>LEFT(A2,6)</f>
        <v>28-JAN</v>
      </c>
      <c r="L2" t="str">
        <f>RIGHT(A2,2)</f>
        <v>US</v>
      </c>
      <c r="M2" t="str">
        <f>B2&amp;"-"&amp;C2</f>
        <v>Laptop-Dell</v>
      </c>
      <c r="N2" s="23" t="str">
        <f>TEXT(DATEVALUE(K2 &amp; "-2026"),"dd-mm-yyyy")</f>
        <v>28-01-2026</v>
      </c>
      <c r="O2" s="24" t="s">
        <v>115</v>
      </c>
      <c r="P2" s="26">
        <f>AVERAGE(D:D)</f>
        <v>297.85714285714283</v>
      </c>
    </row>
    <row r="3" spans="1:17" ht="15.75" customHeight="1" x14ac:dyDescent="0.25">
      <c r="A3" s="8" t="s">
        <v>28</v>
      </c>
      <c r="B3" s="8" t="s">
        <v>29</v>
      </c>
      <c r="C3" s="8" t="s">
        <v>30</v>
      </c>
      <c r="D3" s="19">
        <v>80</v>
      </c>
      <c r="E3" s="8">
        <v>15</v>
      </c>
      <c r="F3" s="8" t="s">
        <v>31</v>
      </c>
      <c r="G3" t="b">
        <f>ISBLANK(D3)</f>
        <v>0</v>
      </c>
      <c r="H3" s="20">
        <f>IF(G3,$P$2,D3)</f>
        <v>80</v>
      </c>
      <c r="I3" t="str">
        <f>IF(ISBLANK(F3),"Electronics",F3)</f>
        <v>Fashion</v>
      </c>
      <c r="J3" t="str">
        <f t="shared" ref="J3:J35" si="0">TRIM(A3)</f>
        <v>15-FEB-US</v>
      </c>
      <c r="K3" s="16" t="str">
        <f t="shared" ref="K3:K32" si="1">LEFT(A3,6)</f>
        <v>15-FEB</v>
      </c>
      <c r="L3" t="str">
        <f t="shared" ref="L3:L32" si="2">RIGHT(A3,2)</f>
        <v>US</v>
      </c>
      <c r="M3" t="str">
        <f t="shared" ref="M3:M32" si="3">B3&amp;"-"&amp;C3</f>
        <v>Sneakers-Nike</v>
      </c>
      <c r="N3" s="23" t="str">
        <f t="shared" ref="N3:N35" si="4">TEXT(DATEVALUE(K3 &amp; "-2026"),"dd-mm-yyyy")</f>
        <v>15-02-2026</v>
      </c>
      <c r="O3" s="25" t="s">
        <v>118</v>
      </c>
      <c r="P3" s="27" t="s">
        <v>27</v>
      </c>
      <c r="Q3" s="5"/>
    </row>
    <row r="4" spans="1:17" ht="15.75" customHeight="1" x14ac:dyDescent="0.25">
      <c r="A4" s="5" t="s">
        <v>32</v>
      </c>
      <c r="B4" s="5" t="s">
        <v>33</v>
      </c>
      <c r="C4" s="5" t="s">
        <v>34</v>
      </c>
      <c r="D4" s="18">
        <v>130</v>
      </c>
      <c r="E4" s="5">
        <v>40</v>
      </c>
      <c r="F4" s="5" t="s">
        <v>35</v>
      </c>
      <c r="G4" t="b">
        <f>ISBLANK(D4)</f>
        <v>0</v>
      </c>
      <c r="H4" s="20">
        <f>IF(G4,$P$2,D4)</f>
        <v>130</v>
      </c>
      <c r="I4" t="str">
        <f>IF(ISBLANK(F4),"Electronics",F4)</f>
        <v>Kitchen</v>
      </c>
      <c r="J4" t="str">
        <f t="shared" si="0"/>
        <v>03-MAR-US</v>
      </c>
      <c r="K4" s="16" t="str">
        <f t="shared" si="1"/>
        <v>03-MAR</v>
      </c>
      <c r="L4" t="str">
        <f t="shared" si="2"/>
        <v>US</v>
      </c>
      <c r="M4" t="str">
        <f t="shared" si="3"/>
        <v>Coffee Maker-Keurig</v>
      </c>
      <c r="N4" s="23" t="str">
        <f t="shared" si="4"/>
        <v>03-03-2026</v>
      </c>
      <c r="O4" s="5"/>
      <c r="P4" s="5"/>
      <c r="Q4" s="5"/>
    </row>
    <row r="5" spans="1:17" ht="15.75" customHeight="1" x14ac:dyDescent="0.25">
      <c r="A5" s="8" t="s">
        <v>36</v>
      </c>
      <c r="B5" s="8" t="s">
        <v>94</v>
      </c>
      <c r="C5" s="8" t="s">
        <v>37</v>
      </c>
      <c r="D5" s="19">
        <v>900</v>
      </c>
      <c r="E5" s="8">
        <v>25</v>
      </c>
      <c r="F5" s="8" t="s">
        <v>27</v>
      </c>
      <c r="G5" t="b">
        <f>ISBLANK(D5)</f>
        <v>0</v>
      </c>
      <c r="H5" s="20">
        <f>IF(G5,$P$2,D5)</f>
        <v>900</v>
      </c>
      <c r="I5" t="str">
        <f>IF(ISBLANK(F5),"Electronics",F5)</f>
        <v>Electronics</v>
      </c>
      <c r="J5" t="str">
        <f t="shared" si="0"/>
        <v>11-APR-US</v>
      </c>
      <c r="K5" s="16" t="str">
        <f t="shared" si="1"/>
        <v>11-APR</v>
      </c>
      <c r="L5" t="str">
        <f t="shared" si="2"/>
        <v>US</v>
      </c>
      <c r="M5" t="str">
        <f t="shared" si="3"/>
        <v>Smartphone-Samsung</v>
      </c>
      <c r="N5" s="23" t="str">
        <f t="shared" si="4"/>
        <v>11-04-2026</v>
      </c>
      <c r="O5" s="5"/>
      <c r="P5" s="5"/>
      <c r="Q5" s="5"/>
    </row>
    <row r="6" spans="1:17" ht="15.75" customHeight="1" x14ac:dyDescent="0.25">
      <c r="A6" s="5" t="s">
        <v>38</v>
      </c>
      <c r="B6" s="5" t="s">
        <v>39</v>
      </c>
      <c r="C6" s="5" t="s">
        <v>40</v>
      </c>
      <c r="D6" s="18">
        <v>70</v>
      </c>
      <c r="E6" s="5">
        <v>20</v>
      </c>
      <c r="F6" s="5"/>
      <c r="G6" t="b">
        <f>ISBLANK(D6)</f>
        <v>0</v>
      </c>
      <c r="H6" s="20">
        <f>IF(G6,$P$2,D6)</f>
        <v>70</v>
      </c>
      <c r="I6" t="str">
        <f>IF(ISBLANK(F6),"Electronics",F6)</f>
        <v>Electronics</v>
      </c>
      <c r="J6" t="str">
        <f t="shared" si="0"/>
        <v>22-MAY-US</v>
      </c>
      <c r="K6" s="16" t="str">
        <f t="shared" si="1"/>
        <v>22-MAY</v>
      </c>
      <c r="L6" t="str">
        <f t="shared" si="2"/>
        <v>US</v>
      </c>
      <c r="M6" t="str">
        <f t="shared" si="3"/>
        <v>Backpack-North Face</v>
      </c>
      <c r="N6" s="23" t="str">
        <f t="shared" si="4"/>
        <v>22-05-2026</v>
      </c>
    </row>
    <row r="7" spans="1:17" ht="15.75" customHeight="1" x14ac:dyDescent="0.25">
      <c r="A7" s="8" t="s">
        <v>41</v>
      </c>
      <c r="B7" s="8" t="s">
        <v>42</v>
      </c>
      <c r="C7" s="8" t="s">
        <v>43</v>
      </c>
      <c r="D7" s="19"/>
      <c r="E7" s="8">
        <v>45</v>
      </c>
      <c r="F7" s="8" t="s">
        <v>27</v>
      </c>
      <c r="G7" t="b">
        <f>ISBLANK(D7)</f>
        <v>1</v>
      </c>
      <c r="H7" s="20">
        <f>IF(G7,$P$2,D7)</f>
        <v>297.85714285714283</v>
      </c>
      <c r="I7" t="str">
        <f>IF(ISBLANK(F7),"Electronics",F7)</f>
        <v>Electronics</v>
      </c>
      <c r="J7" t="str">
        <f t="shared" si="0"/>
        <v>07-JUN-UK</v>
      </c>
      <c r="K7" s="16" t="str">
        <f t="shared" si="1"/>
        <v>07-JUN</v>
      </c>
      <c r="L7" t="str">
        <f t="shared" si="2"/>
        <v>UK</v>
      </c>
      <c r="M7" t="str">
        <f t="shared" si="3"/>
        <v>Headphones-Sony</v>
      </c>
      <c r="N7" s="23" t="str">
        <f t="shared" si="4"/>
        <v>07-06-2026</v>
      </c>
    </row>
    <row r="8" spans="1:17" ht="15.75" customHeight="1" x14ac:dyDescent="0.25">
      <c r="A8" s="5" t="s">
        <v>45</v>
      </c>
      <c r="B8" s="5" t="s">
        <v>46</v>
      </c>
      <c r="C8" s="5" t="s">
        <v>47</v>
      </c>
      <c r="D8" s="18">
        <v>30</v>
      </c>
      <c r="E8" s="5">
        <v>5</v>
      </c>
      <c r="F8" s="5" t="s">
        <v>31</v>
      </c>
      <c r="G8" t="b">
        <f>ISBLANK(D8)</f>
        <v>0</v>
      </c>
      <c r="H8" s="20">
        <f>IF(G8,$P$2,D8)</f>
        <v>30</v>
      </c>
      <c r="I8" t="str">
        <f>IF(ISBLANK(F8),"Electronics",F8)</f>
        <v>Fashion</v>
      </c>
      <c r="J8" t="str">
        <f t="shared" si="0"/>
        <v>19-JUL-UK</v>
      </c>
      <c r="K8" s="16" t="str">
        <f t="shared" si="1"/>
        <v>19-JUL</v>
      </c>
      <c r="L8" t="str">
        <f t="shared" si="2"/>
        <v>UK</v>
      </c>
      <c r="M8" t="str">
        <f t="shared" si="3"/>
        <v>T-shirt-Adidas</v>
      </c>
      <c r="N8" s="23" t="str">
        <f t="shared" si="4"/>
        <v>19-07-2026</v>
      </c>
    </row>
    <row r="9" spans="1:17" ht="15.75" customHeight="1" x14ac:dyDescent="0.25">
      <c r="A9" s="8" t="s">
        <v>48</v>
      </c>
      <c r="B9" s="8" t="s">
        <v>49</v>
      </c>
      <c r="C9" s="8" t="s">
        <v>50</v>
      </c>
      <c r="D9" s="19">
        <v>90</v>
      </c>
      <c r="E9" s="8">
        <v>35</v>
      </c>
      <c r="F9" s="8" t="s">
        <v>35</v>
      </c>
      <c r="G9" t="b">
        <f>ISBLANK(D9)</f>
        <v>0</v>
      </c>
      <c r="H9" s="20">
        <f>IF(G9,$P$2,D9)</f>
        <v>90</v>
      </c>
      <c r="I9" t="str">
        <f>IF(ISBLANK(F9),"Electronics",F9)</f>
        <v>Kitchen</v>
      </c>
      <c r="J9" t="str">
        <f t="shared" si="0"/>
        <v>23-AUG-UK</v>
      </c>
      <c r="K9" s="16" t="str">
        <f t="shared" si="1"/>
        <v>23-AUG</v>
      </c>
      <c r="L9" t="str">
        <f t="shared" si="2"/>
        <v>UK</v>
      </c>
      <c r="M9" t="str">
        <f t="shared" si="3"/>
        <v>Blender-Ninja</v>
      </c>
      <c r="N9" s="23" t="str">
        <f t="shared" si="4"/>
        <v>23-08-2026</v>
      </c>
    </row>
    <row r="10" spans="1:17" ht="15.75" customHeight="1" x14ac:dyDescent="0.25">
      <c r="A10" s="5" t="s">
        <v>51</v>
      </c>
      <c r="B10" s="5" t="s">
        <v>52</v>
      </c>
      <c r="C10" s="5" t="s">
        <v>53</v>
      </c>
      <c r="D10" s="18">
        <v>500</v>
      </c>
      <c r="E10" s="5">
        <v>50</v>
      </c>
      <c r="F10" s="5" t="s">
        <v>27</v>
      </c>
      <c r="G10" t="b">
        <f>ISBLANK(D10)</f>
        <v>0</v>
      </c>
      <c r="H10" s="20">
        <f>IF(G10,$P$2,D10)</f>
        <v>500</v>
      </c>
      <c r="I10" t="str">
        <f>IF(ISBLANK(F10),"Electronics",F10)</f>
        <v>Electronics</v>
      </c>
      <c r="J10" t="str">
        <f t="shared" si="0"/>
        <v>05-SEP-UK</v>
      </c>
      <c r="K10" s="16" t="str">
        <f t="shared" si="1"/>
        <v>05-SEP</v>
      </c>
      <c r="L10" t="str">
        <f t="shared" si="2"/>
        <v>UK</v>
      </c>
      <c r="M10" t="str">
        <f t="shared" si="3"/>
        <v>Tablet-Apple</v>
      </c>
      <c r="N10" s="23" t="str">
        <f t="shared" si="4"/>
        <v>05-09-2026</v>
      </c>
    </row>
    <row r="11" spans="1:17" ht="15.75" customHeight="1" x14ac:dyDescent="0.25">
      <c r="A11" s="8" t="s">
        <v>54</v>
      </c>
      <c r="B11" s="8" t="s">
        <v>55</v>
      </c>
      <c r="C11" s="8" t="s">
        <v>56</v>
      </c>
      <c r="D11" s="19">
        <v>130</v>
      </c>
      <c r="E11" s="8">
        <v>10</v>
      </c>
      <c r="F11" s="8" t="s">
        <v>57</v>
      </c>
      <c r="G11" t="b">
        <f>ISBLANK(D11)</f>
        <v>0</v>
      </c>
      <c r="H11" s="20">
        <f>IF(G11,$P$2,D11)</f>
        <v>130</v>
      </c>
      <c r="I11" t="str">
        <f>IF(ISBLANK(F11),"Electronics",F11)</f>
        <v>Outdoor</v>
      </c>
      <c r="J11" t="str">
        <f t="shared" si="0"/>
        <v>14-OCT-UK</v>
      </c>
      <c r="K11" s="16" t="str">
        <f t="shared" si="1"/>
        <v>14-OCT</v>
      </c>
      <c r="L11" t="str">
        <f t="shared" si="2"/>
        <v>UK</v>
      </c>
      <c r="M11" t="str">
        <f t="shared" si="3"/>
        <v>Hiking Boots-Timberland</v>
      </c>
      <c r="N11" s="23" t="str">
        <f t="shared" si="4"/>
        <v>14-10-2026</v>
      </c>
    </row>
    <row r="12" spans="1:17" ht="15.75" customHeight="1" x14ac:dyDescent="0.25">
      <c r="A12" s="5" t="s">
        <v>58</v>
      </c>
      <c r="B12" s="5" t="s">
        <v>59</v>
      </c>
      <c r="C12" s="5" t="s">
        <v>60</v>
      </c>
      <c r="D12" s="18">
        <v>950</v>
      </c>
      <c r="E12" s="5">
        <v>25</v>
      </c>
      <c r="F12" s="5" t="s">
        <v>27</v>
      </c>
      <c r="G12" t="b">
        <f>ISBLANK(D12)</f>
        <v>0</v>
      </c>
      <c r="H12" s="20">
        <f>IF(G12,$P$2,D12)</f>
        <v>950</v>
      </c>
      <c r="I12" t="str">
        <f>IF(ISBLANK(F12),"Electronics",F12)</f>
        <v>Electronics</v>
      </c>
      <c r="J12" t="str">
        <f t="shared" si="0"/>
        <v>17-JUN-IN</v>
      </c>
      <c r="K12" s="16" t="str">
        <f t="shared" si="1"/>
        <v>17-JUN</v>
      </c>
      <c r="L12" t="str">
        <f t="shared" si="2"/>
        <v>IN</v>
      </c>
      <c r="M12" t="str">
        <f t="shared" si="3"/>
        <v>Laptop-HP</v>
      </c>
      <c r="N12" s="23" t="str">
        <f t="shared" si="4"/>
        <v>17-06-2026</v>
      </c>
    </row>
    <row r="13" spans="1:17" ht="15.75" customHeight="1" x14ac:dyDescent="0.25">
      <c r="A13" s="8" t="s">
        <v>61</v>
      </c>
      <c r="B13" s="8" t="s">
        <v>29</v>
      </c>
      <c r="C13" s="8" t="s">
        <v>47</v>
      </c>
      <c r="D13" s="19">
        <v>90</v>
      </c>
      <c r="E13" s="8">
        <v>40</v>
      </c>
      <c r="F13" s="8"/>
      <c r="G13" t="b">
        <f>ISBLANK(D13)</f>
        <v>0</v>
      </c>
      <c r="H13" s="20">
        <f>IF(G13,$P$2,D13)</f>
        <v>90</v>
      </c>
      <c r="I13" t="str">
        <f>IF(ISBLANK(F13),"Electronics",F13)</f>
        <v>Electronics</v>
      </c>
      <c r="J13" t="str">
        <f t="shared" si="0"/>
        <v>25-NOV-AU</v>
      </c>
      <c r="K13" s="16" t="str">
        <f t="shared" si="1"/>
        <v>25-NOV</v>
      </c>
      <c r="L13" t="str">
        <f t="shared" si="2"/>
        <v>AU</v>
      </c>
      <c r="M13" t="str">
        <f t="shared" si="3"/>
        <v>Sneakers-Adidas</v>
      </c>
      <c r="N13" s="23" t="str">
        <f t="shared" si="4"/>
        <v>25-11-2026</v>
      </c>
    </row>
    <row r="14" spans="1:17" ht="15.75" customHeight="1" x14ac:dyDescent="0.25">
      <c r="A14" s="5" t="s">
        <v>62</v>
      </c>
      <c r="B14" s="5" t="s">
        <v>33</v>
      </c>
      <c r="C14" s="5" t="s">
        <v>63</v>
      </c>
      <c r="D14" s="18">
        <v>120</v>
      </c>
      <c r="E14" s="5">
        <v>35</v>
      </c>
      <c r="F14" s="5"/>
      <c r="G14" t="b">
        <f>ISBLANK(D14)</f>
        <v>0</v>
      </c>
      <c r="H14" s="20">
        <f>IF(G14,$P$2,D14)</f>
        <v>120</v>
      </c>
      <c r="I14" t="str">
        <f>IF(ISBLANK(F14),"Electronics",F14)</f>
        <v>Electronics</v>
      </c>
      <c r="J14" t="str">
        <f t="shared" si="0"/>
        <v>08-DEC-DE</v>
      </c>
      <c r="K14" s="16" t="str">
        <f t="shared" si="1"/>
        <v>08-DEC</v>
      </c>
      <c r="L14" t="str">
        <f t="shared" si="2"/>
        <v>DE</v>
      </c>
      <c r="M14" t="str">
        <f t="shared" si="3"/>
        <v>Coffee Maker-Nespresso</v>
      </c>
      <c r="N14" s="23" t="str">
        <f t="shared" si="4"/>
        <v>08-12-2026</v>
      </c>
    </row>
    <row r="15" spans="1:17" ht="15.75" customHeight="1" x14ac:dyDescent="0.25">
      <c r="A15" s="8" t="s">
        <v>64</v>
      </c>
      <c r="B15" s="8" t="s">
        <v>65</v>
      </c>
      <c r="C15" s="8" t="s">
        <v>66</v>
      </c>
      <c r="D15" s="19">
        <v>150</v>
      </c>
      <c r="E15" s="8">
        <v>15</v>
      </c>
      <c r="F15" s="8" t="s">
        <v>27</v>
      </c>
      <c r="G15" t="b">
        <f>ISBLANK(D15)</f>
        <v>0</v>
      </c>
      <c r="H15" s="20">
        <f>IF(G15,$P$2,D15)</f>
        <v>150</v>
      </c>
      <c r="I15" t="str">
        <f>IF(ISBLANK(F15),"Electronics",F15)</f>
        <v>Electronics</v>
      </c>
      <c r="J15" t="str">
        <f t="shared" si="0"/>
        <v>18-FEB-CA</v>
      </c>
      <c r="K15" s="16" t="str">
        <f t="shared" si="1"/>
        <v>18-FEB</v>
      </c>
      <c r="L15" t="str">
        <f t="shared" si="2"/>
        <v>CA</v>
      </c>
      <c r="M15" t="str">
        <f t="shared" si="3"/>
        <v>Smartwatch-Fitbit</v>
      </c>
      <c r="N15" s="23" t="str">
        <f t="shared" si="4"/>
        <v>18-02-2026</v>
      </c>
    </row>
    <row r="16" spans="1:17" ht="15.75" customHeight="1" x14ac:dyDescent="0.25">
      <c r="A16" s="5" t="s">
        <v>67</v>
      </c>
      <c r="B16" s="5" t="s">
        <v>68</v>
      </c>
      <c r="C16" s="5" t="s">
        <v>69</v>
      </c>
      <c r="D16" s="18">
        <v>250</v>
      </c>
      <c r="E16" s="5">
        <v>20</v>
      </c>
      <c r="F16" s="5" t="s">
        <v>27</v>
      </c>
      <c r="G16" t="b">
        <f>ISBLANK(D16)</f>
        <v>0</v>
      </c>
      <c r="H16" s="20">
        <f>IF(G16,$P$2,D16)</f>
        <v>250</v>
      </c>
      <c r="I16" t="str">
        <f>IF(ISBLANK(F16),"Electronics",F16)</f>
        <v>Electronics</v>
      </c>
      <c r="J16" t="str">
        <f t="shared" si="0"/>
        <v>16-APR-ES</v>
      </c>
      <c r="K16" s="16" t="str">
        <f t="shared" si="1"/>
        <v>16-APR</v>
      </c>
      <c r="L16" t="str">
        <f t="shared" si="2"/>
        <v>ES</v>
      </c>
      <c r="M16" t="str">
        <f t="shared" si="3"/>
        <v>headphones-Bose</v>
      </c>
      <c r="N16" s="23" t="str">
        <f t="shared" si="4"/>
        <v>16-04-2026</v>
      </c>
    </row>
    <row r="17" spans="1:14" ht="15.75" customHeight="1" x14ac:dyDescent="0.25">
      <c r="A17" s="8" t="s">
        <v>70</v>
      </c>
      <c r="B17" s="8" t="s">
        <v>71</v>
      </c>
      <c r="C17" s="8" t="s">
        <v>72</v>
      </c>
      <c r="D17" s="19">
        <v>50</v>
      </c>
      <c r="E17" s="8">
        <v>35</v>
      </c>
      <c r="F17" s="8" t="s">
        <v>73</v>
      </c>
      <c r="G17" t="b">
        <f>ISBLANK(D17)</f>
        <v>0</v>
      </c>
      <c r="H17" s="20">
        <f>IF(G17,$P$2,D17)</f>
        <v>50</v>
      </c>
      <c r="I17" t="str">
        <f>IF(ISBLANK(F17),"Electronics",F17)</f>
        <v>Accessories</v>
      </c>
      <c r="J17" t="str">
        <f t="shared" si="0"/>
        <v>21-AUG-CA</v>
      </c>
      <c r="K17" s="16" t="str">
        <f t="shared" si="1"/>
        <v>21-AUG</v>
      </c>
      <c r="L17" t="str">
        <f t="shared" si="2"/>
        <v>CA</v>
      </c>
      <c r="M17" t="str">
        <f t="shared" si="3"/>
        <v>Laptop Bag-Samsonite</v>
      </c>
      <c r="N17" s="23" t="str">
        <f t="shared" si="4"/>
        <v>21-08-2026</v>
      </c>
    </row>
    <row r="18" spans="1:14" ht="15.75" customHeight="1" x14ac:dyDescent="0.25">
      <c r="A18" s="5" t="s">
        <v>74</v>
      </c>
      <c r="B18" s="5" t="s">
        <v>65</v>
      </c>
      <c r="C18" s="5" t="s">
        <v>75</v>
      </c>
      <c r="D18" s="18">
        <v>160</v>
      </c>
      <c r="E18" s="5">
        <v>15</v>
      </c>
      <c r="F18" s="5" t="s">
        <v>27</v>
      </c>
      <c r="G18" t="b">
        <f>ISBLANK(D18)</f>
        <v>0</v>
      </c>
      <c r="H18" s="20">
        <f>IF(G18,$P$2,D18)</f>
        <v>160</v>
      </c>
      <c r="I18" t="str">
        <f>IF(ISBLANK(F18),"Electronics",F18)</f>
        <v>Electronics</v>
      </c>
      <c r="J18" t="str">
        <f t="shared" si="0"/>
        <v>20-AUG-CN</v>
      </c>
      <c r="K18" s="16" t="str">
        <f t="shared" si="1"/>
        <v>20-AUG</v>
      </c>
      <c r="L18" t="str">
        <f t="shared" si="2"/>
        <v>CN</v>
      </c>
      <c r="M18" t="str">
        <f t="shared" si="3"/>
        <v>Smartwatch-Huawei</v>
      </c>
      <c r="N18" s="23" t="str">
        <f t="shared" si="4"/>
        <v>20-08-2026</v>
      </c>
    </row>
    <row r="19" spans="1:14" ht="15.75" customHeight="1" x14ac:dyDescent="0.25">
      <c r="A19" s="8" t="s">
        <v>76</v>
      </c>
      <c r="B19" s="8" t="s">
        <v>59</v>
      </c>
      <c r="C19" s="8" t="s">
        <v>77</v>
      </c>
      <c r="D19" s="19">
        <v>980</v>
      </c>
      <c r="E19" s="8">
        <v>10</v>
      </c>
      <c r="F19" s="8" t="s">
        <v>27</v>
      </c>
      <c r="G19" t="b">
        <f>ISBLANK(D19)</f>
        <v>0</v>
      </c>
      <c r="H19" s="20">
        <f>IF(G19,$P$2,D19)</f>
        <v>980</v>
      </c>
      <c r="I19" t="str">
        <f>IF(ISBLANK(F19),"Electronics",F19)</f>
        <v>Electronics</v>
      </c>
      <c r="J19" t="str">
        <f t="shared" si="0"/>
        <v>27-JAN-IT</v>
      </c>
      <c r="K19" s="16" t="str">
        <f t="shared" si="1"/>
        <v>27-JAN</v>
      </c>
      <c r="L19" t="str">
        <f t="shared" si="2"/>
        <v>IT</v>
      </c>
      <c r="M19" t="str">
        <f t="shared" si="3"/>
        <v>Laptop-Asus</v>
      </c>
      <c r="N19" s="23" t="str">
        <f t="shared" si="4"/>
        <v>27-01-2026</v>
      </c>
    </row>
    <row r="20" spans="1:14" ht="15.75" customHeight="1" x14ac:dyDescent="0.25">
      <c r="A20" s="5" t="s">
        <v>78</v>
      </c>
      <c r="B20" s="5" t="s">
        <v>79</v>
      </c>
      <c r="C20" s="5" t="s">
        <v>80</v>
      </c>
      <c r="D20" s="18">
        <v>150</v>
      </c>
      <c r="E20" s="5">
        <v>15</v>
      </c>
      <c r="F20" s="5" t="s">
        <v>31</v>
      </c>
      <c r="G20" t="b">
        <f>ISBLANK(D20)</f>
        <v>0</v>
      </c>
      <c r="H20" s="20">
        <f>IF(G20,$P$2,D20)</f>
        <v>150</v>
      </c>
      <c r="I20" t="str">
        <f>IF(ISBLANK(F20),"Electronics",F20)</f>
        <v>Fashion</v>
      </c>
      <c r="J20" t="str">
        <f t="shared" si="0"/>
        <v>01-MAR-UK</v>
      </c>
      <c r="K20" s="16" t="str">
        <f t="shared" si="1"/>
        <v>01-MAR</v>
      </c>
      <c r="L20" t="str">
        <f t="shared" si="2"/>
        <v>UK</v>
      </c>
      <c r="M20" t="str">
        <f t="shared" si="3"/>
        <v>Sunglasses-Oakley</v>
      </c>
      <c r="N20" s="23" t="str">
        <f t="shared" si="4"/>
        <v>01-03-2026</v>
      </c>
    </row>
    <row r="21" spans="1:14" ht="15.75" customHeight="1" x14ac:dyDescent="0.25">
      <c r="A21" s="8" t="s">
        <v>81</v>
      </c>
      <c r="B21" s="8" t="s">
        <v>82</v>
      </c>
      <c r="C21" s="8" t="s">
        <v>83</v>
      </c>
      <c r="D21" s="19"/>
      <c r="E21" s="8">
        <v>10</v>
      </c>
      <c r="F21" s="8" t="s">
        <v>57</v>
      </c>
      <c r="G21" t="b">
        <f>ISBLANK(D21)</f>
        <v>1</v>
      </c>
      <c r="H21" s="20">
        <f>IF(G21,$P$2,D21)</f>
        <v>297.85714285714283</v>
      </c>
      <c r="I21" t="str">
        <f>IF(ISBLANK(F21),"Electronics",F21)</f>
        <v>Outdoor</v>
      </c>
      <c r="J21" t="str">
        <f t="shared" si="0"/>
        <v>14-AUG-US</v>
      </c>
      <c r="K21" s="16" t="str">
        <f t="shared" si="1"/>
        <v>14-AUG</v>
      </c>
      <c r="L21" t="str">
        <f t="shared" si="2"/>
        <v>US</v>
      </c>
      <c r="M21" t="str">
        <f t="shared" si="3"/>
        <v>Camping Tent-Coleman</v>
      </c>
      <c r="N21" s="23" t="str">
        <f t="shared" si="4"/>
        <v>14-08-2026</v>
      </c>
    </row>
    <row r="22" spans="1:14" ht="15.75" customHeight="1" x14ac:dyDescent="0.25">
      <c r="A22" s="5" t="s">
        <v>84</v>
      </c>
      <c r="B22" s="5" t="s">
        <v>85</v>
      </c>
      <c r="C22" s="5" t="s">
        <v>86</v>
      </c>
      <c r="D22" s="18">
        <v>700</v>
      </c>
      <c r="E22" s="5">
        <v>50</v>
      </c>
      <c r="F22" s="5" t="s">
        <v>27</v>
      </c>
      <c r="G22" t="b">
        <f>ISBLANK(D22)</f>
        <v>0</v>
      </c>
      <c r="H22" s="20">
        <f>IF(G22,$P$2,D22)</f>
        <v>700</v>
      </c>
      <c r="I22" t="str">
        <f>IF(ISBLANK(F22),"Electronics",F22)</f>
        <v>Electronics</v>
      </c>
      <c r="J22" t="str">
        <f t="shared" si="0"/>
        <v>14-MAY-RU</v>
      </c>
      <c r="K22" s="16" t="str">
        <f t="shared" si="1"/>
        <v>14-MAY</v>
      </c>
      <c r="L22" t="str">
        <f t="shared" si="2"/>
        <v>RU</v>
      </c>
      <c r="M22" t="str">
        <f t="shared" si="3"/>
        <v>Camera-Nikon</v>
      </c>
      <c r="N22" s="23" t="str">
        <f t="shared" si="4"/>
        <v>14-05-2026</v>
      </c>
    </row>
    <row r="23" spans="1:14" ht="15.75" customHeight="1" x14ac:dyDescent="0.25">
      <c r="A23" s="8" t="s">
        <v>87</v>
      </c>
      <c r="B23" s="8" t="s">
        <v>88</v>
      </c>
      <c r="C23" s="8" t="s">
        <v>89</v>
      </c>
      <c r="D23" s="19">
        <v>80</v>
      </c>
      <c r="E23" s="8">
        <v>20</v>
      </c>
      <c r="F23" s="8" t="s">
        <v>35</v>
      </c>
      <c r="G23" t="b">
        <f>ISBLANK(D23)</f>
        <v>0</v>
      </c>
      <c r="H23" s="20">
        <f>IF(G23,$P$2,D23)</f>
        <v>80</v>
      </c>
      <c r="I23" t="str">
        <f>IF(ISBLANK(F23),"Electronics",F23)</f>
        <v>Kitchen</v>
      </c>
      <c r="J23" t="str">
        <f t="shared" si="0"/>
        <v>09-JAN-CA</v>
      </c>
      <c r="K23" s="16" t="str">
        <f t="shared" si="1"/>
        <v>09-JAN</v>
      </c>
      <c r="L23" t="str">
        <f t="shared" si="2"/>
        <v>CA</v>
      </c>
      <c r="M23" t="str">
        <f t="shared" si="3"/>
        <v>Microwave-Panasonic</v>
      </c>
      <c r="N23" s="23" t="str">
        <f t="shared" si="4"/>
        <v>09-01-2026</v>
      </c>
    </row>
    <row r="24" spans="1:14" ht="15.75" customHeight="1" x14ac:dyDescent="0.25">
      <c r="A24" s="5" t="s">
        <v>90</v>
      </c>
      <c r="B24" s="5" t="s">
        <v>91</v>
      </c>
      <c r="C24" s="5" t="s">
        <v>92</v>
      </c>
      <c r="D24" s="18">
        <v>150</v>
      </c>
      <c r="E24" s="5">
        <v>30</v>
      </c>
      <c r="F24" s="5"/>
      <c r="G24" t="b">
        <f>ISBLANK(D24)</f>
        <v>0</v>
      </c>
      <c r="H24" s="20">
        <f>IF(G24,$P$2,D24)</f>
        <v>150</v>
      </c>
      <c r="I24" t="str">
        <f>IF(ISBLANK(F24),"Electronics",F24)</f>
        <v>Electronics</v>
      </c>
      <c r="J24" t="str">
        <f t="shared" si="0"/>
        <v>19-JUL-BR</v>
      </c>
      <c r="K24" s="16" t="str">
        <f t="shared" si="1"/>
        <v>19-JUL</v>
      </c>
      <c r="L24" t="str">
        <f t="shared" si="2"/>
        <v>BR</v>
      </c>
      <c r="M24" t="str">
        <f t="shared" si="3"/>
        <v>Fitness Tracker-Xiaomi</v>
      </c>
      <c r="N24" s="23" t="str">
        <f t="shared" si="4"/>
        <v>19-07-2026</v>
      </c>
    </row>
    <row r="25" spans="1:14" ht="15.75" customHeight="1" x14ac:dyDescent="0.25">
      <c r="A25" s="5" t="s">
        <v>93</v>
      </c>
      <c r="B25" s="5" t="s">
        <v>94</v>
      </c>
      <c r="C25" s="5" t="s">
        <v>95</v>
      </c>
      <c r="D25" s="18">
        <v>800</v>
      </c>
      <c r="E25" s="5">
        <v>45</v>
      </c>
      <c r="F25" s="5" t="s">
        <v>27</v>
      </c>
      <c r="G25" t="b">
        <f>ISBLANK(D25)</f>
        <v>0</v>
      </c>
      <c r="H25" s="20">
        <f>IF(G25,$P$2,D25)</f>
        <v>800</v>
      </c>
      <c r="I25" t="str">
        <f>IF(ISBLANK(F25),"Electronics",F25)</f>
        <v>Electronics</v>
      </c>
      <c r="J25" t="str">
        <f t="shared" si="0"/>
        <v>29-SEP-CA</v>
      </c>
      <c r="K25" s="16" t="str">
        <f t="shared" si="1"/>
        <v>29-SEP</v>
      </c>
      <c r="L25" t="str">
        <f t="shared" si="2"/>
        <v>CA</v>
      </c>
      <c r="M25" t="str">
        <f t="shared" si="3"/>
        <v>Smartphone-Google</v>
      </c>
      <c r="N25" s="23" t="str">
        <f t="shared" si="4"/>
        <v>29-09-2026</v>
      </c>
    </row>
    <row r="26" spans="1:14" ht="15.75" customHeight="1" x14ac:dyDescent="0.25">
      <c r="A26" s="8" t="s">
        <v>96</v>
      </c>
      <c r="B26" s="8" t="s">
        <v>79</v>
      </c>
      <c r="C26" s="8" t="s">
        <v>97</v>
      </c>
      <c r="D26" s="19"/>
      <c r="E26" s="8">
        <v>25</v>
      </c>
      <c r="F26" s="8" t="s">
        <v>31</v>
      </c>
      <c r="G26" t="b">
        <f>ISBLANK(D26)</f>
        <v>1</v>
      </c>
      <c r="H26" s="20">
        <f>IF(G26,$P$2,D26)</f>
        <v>297.85714285714283</v>
      </c>
      <c r="I26" t="str">
        <f>IF(ISBLANK(F26),"Electronics",F26)</f>
        <v>Fashion</v>
      </c>
      <c r="J26" t="str">
        <f t="shared" si="0"/>
        <v>03-JUN-CA</v>
      </c>
      <c r="K26" s="16" t="str">
        <f t="shared" si="1"/>
        <v>03-JUN</v>
      </c>
      <c r="L26" t="str">
        <f t="shared" si="2"/>
        <v>CA</v>
      </c>
      <c r="M26" t="str">
        <f t="shared" si="3"/>
        <v>Sunglasses-Ray-Ban</v>
      </c>
      <c r="N26" s="23" t="str">
        <f t="shared" si="4"/>
        <v>03-06-2026</v>
      </c>
    </row>
    <row r="27" spans="1:14" ht="15.75" customHeight="1" x14ac:dyDescent="0.25">
      <c r="A27" s="5" t="s">
        <v>98</v>
      </c>
      <c r="B27" s="5" t="s">
        <v>49</v>
      </c>
      <c r="C27" s="5" t="s">
        <v>99</v>
      </c>
      <c r="D27" s="18">
        <v>400</v>
      </c>
      <c r="E27" s="5">
        <v>40</v>
      </c>
      <c r="F27" s="5" t="s">
        <v>35</v>
      </c>
      <c r="G27" t="b">
        <f>ISBLANK(D27)</f>
        <v>0</v>
      </c>
      <c r="H27" s="20">
        <f>IF(G27,$P$2,D27)</f>
        <v>400</v>
      </c>
      <c r="I27" t="str">
        <f>IF(ISBLANK(F27),"Electronics",F27)</f>
        <v>Kitchen</v>
      </c>
      <c r="J27" t="str">
        <f t="shared" si="0"/>
        <v>11-JUL-CA</v>
      </c>
      <c r="K27" s="16" t="str">
        <f t="shared" si="1"/>
        <v>11-JUL</v>
      </c>
      <c r="L27" t="str">
        <f t="shared" si="2"/>
        <v>CA</v>
      </c>
      <c r="M27" t="str">
        <f t="shared" si="3"/>
        <v>Blender-Vitamix</v>
      </c>
      <c r="N27" s="23" t="str">
        <f t="shared" si="4"/>
        <v>11-07-2026</v>
      </c>
    </row>
    <row r="28" spans="1:14" ht="15.75" customHeight="1" x14ac:dyDescent="0.25">
      <c r="A28" s="5" t="s">
        <v>100</v>
      </c>
      <c r="B28" s="5" t="s">
        <v>101</v>
      </c>
      <c r="C28" s="5" t="s">
        <v>102</v>
      </c>
      <c r="D28" s="18">
        <v>60</v>
      </c>
      <c r="E28" s="5">
        <v>30</v>
      </c>
      <c r="F28" s="5" t="s">
        <v>31</v>
      </c>
      <c r="G28" t="b">
        <f>ISBLANK(D28)</f>
        <v>0</v>
      </c>
      <c r="H28" s="20">
        <f>IF(G28,$P$2,D28)</f>
        <v>60</v>
      </c>
      <c r="I28" t="str">
        <f>IF(ISBLANK(F28),"Electronics",F28)</f>
        <v>Fashion</v>
      </c>
      <c r="J28" t="str">
        <f t="shared" si="0"/>
        <v>07-MAR-CA</v>
      </c>
      <c r="K28" s="16" t="str">
        <f t="shared" si="1"/>
        <v>07-MAR</v>
      </c>
      <c r="L28" t="str">
        <f t="shared" si="2"/>
        <v>CA</v>
      </c>
      <c r="M28" t="str">
        <f t="shared" si="3"/>
        <v>Dress-Zara</v>
      </c>
      <c r="N28" s="23" t="str">
        <f t="shared" si="4"/>
        <v>07-03-2026</v>
      </c>
    </row>
    <row r="29" spans="1:14" ht="15.75" customHeight="1" x14ac:dyDescent="0.25">
      <c r="A29" s="8" t="s">
        <v>103</v>
      </c>
      <c r="B29" s="8" t="s">
        <v>104</v>
      </c>
      <c r="C29" s="8" t="s">
        <v>105</v>
      </c>
      <c r="D29" s="19">
        <v>40</v>
      </c>
      <c r="E29" s="8">
        <v>10</v>
      </c>
      <c r="F29" s="8" t="s">
        <v>35</v>
      </c>
      <c r="G29" t="b">
        <f>ISBLANK(D29)</f>
        <v>0</v>
      </c>
      <c r="H29" s="20">
        <f>IF(G29,$P$2,D29)</f>
        <v>40</v>
      </c>
      <c r="I29" t="str">
        <f>IF(ISBLANK(F29),"Electronics",F29)</f>
        <v>Kitchen</v>
      </c>
      <c r="J29" t="str">
        <f t="shared" si="0"/>
        <v>13-APR-CA</v>
      </c>
      <c r="K29" s="16" t="str">
        <f t="shared" si="1"/>
        <v>13-APR</v>
      </c>
      <c r="L29" t="str">
        <f t="shared" si="2"/>
        <v>CA</v>
      </c>
      <c r="M29" t="str">
        <f t="shared" si="3"/>
        <v>Toaster-Hamilton</v>
      </c>
      <c r="N29" s="23" t="str">
        <f t="shared" si="4"/>
        <v>13-04-2026</v>
      </c>
    </row>
    <row r="30" spans="1:14" ht="15.75" customHeight="1" x14ac:dyDescent="0.25">
      <c r="A30" s="5" t="s">
        <v>106</v>
      </c>
      <c r="B30" s="5" t="s">
        <v>91</v>
      </c>
      <c r="C30" s="5" t="s">
        <v>107</v>
      </c>
      <c r="D30" s="18">
        <v>130</v>
      </c>
      <c r="E30" s="5">
        <v>5</v>
      </c>
      <c r="F30" s="5" t="s">
        <v>27</v>
      </c>
      <c r="G30" t="b">
        <f>ISBLANK(D30)</f>
        <v>0</v>
      </c>
      <c r="H30" s="20">
        <f>IF(G30,$P$2,D30)</f>
        <v>130</v>
      </c>
      <c r="I30" t="str">
        <f>IF(ISBLANK(F30),"Electronics",F30)</f>
        <v>Electronics</v>
      </c>
      <c r="J30" t="str">
        <f t="shared" si="0"/>
        <v>24-MAY-CA</v>
      </c>
      <c r="K30" s="16" t="str">
        <f t="shared" si="1"/>
        <v>24-MAY</v>
      </c>
      <c r="L30" t="str">
        <f t="shared" si="2"/>
        <v>CA</v>
      </c>
      <c r="M30" t="str">
        <f t="shared" si="3"/>
        <v>Fitness Tracker-Garmin</v>
      </c>
      <c r="N30" s="23" t="str">
        <f t="shared" si="4"/>
        <v>24-05-2026</v>
      </c>
    </row>
    <row r="31" spans="1:14" ht="15.75" customHeight="1" x14ac:dyDescent="0.25">
      <c r="A31" s="8" t="s">
        <v>108</v>
      </c>
      <c r="B31" s="8" t="s">
        <v>109</v>
      </c>
      <c r="C31" s="8" t="s">
        <v>110</v>
      </c>
      <c r="D31" s="19">
        <v>50</v>
      </c>
      <c r="E31" s="8">
        <v>50</v>
      </c>
      <c r="F31" s="8" t="s">
        <v>31</v>
      </c>
      <c r="G31" t="b">
        <f>ISBLANK(D31)</f>
        <v>0</v>
      </c>
      <c r="H31" s="20">
        <f>IF(G31,$P$2,D31)</f>
        <v>50</v>
      </c>
      <c r="I31" t="str">
        <f>IF(ISBLANK(F31),"Electronics",F31)</f>
        <v>Fashion</v>
      </c>
      <c r="J31" t="str">
        <f t="shared" si="0"/>
        <v>02-DEC-CA</v>
      </c>
      <c r="K31" s="16" t="str">
        <f t="shared" si="1"/>
        <v>02-DEC</v>
      </c>
      <c r="L31" t="str">
        <f t="shared" si="2"/>
        <v>CA</v>
      </c>
      <c r="M31" t="str">
        <f t="shared" si="3"/>
        <v>Jeans-Levi's</v>
      </c>
      <c r="N31" s="23" t="str">
        <f t="shared" si="4"/>
        <v>02-12-2026</v>
      </c>
    </row>
    <row r="32" spans="1:14" ht="15.75" customHeight="1" x14ac:dyDescent="0.25">
      <c r="A32" s="8" t="s">
        <v>111</v>
      </c>
      <c r="B32" s="8" t="s">
        <v>112</v>
      </c>
      <c r="C32" s="8" t="s">
        <v>113</v>
      </c>
      <c r="D32" s="19">
        <v>100</v>
      </c>
      <c r="E32" s="8">
        <v>20</v>
      </c>
      <c r="F32" s="8" t="s">
        <v>73</v>
      </c>
      <c r="G32" t="b">
        <f>ISBLANK(D32)</f>
        <v>0</v>
      </c>
      <c r="H32" s="20">
        <f>IF(G32,$P$2,D32)</f>
        <v>100</v>
      </c>
      <c r="I32" t="str">
        <f>IF(ISBLANK(F32),"Electronics",F32)</f>
        <v>Accessories</v>
      </c>
      <c r="J32" t="str">
        <f t="shared" si="0"/>
        <v>09-JUL-FR</v>
      </c>
      <c r="K32" s="16" t="str">
        <f t="shared" si="1"/>
        <v>09-JUL</v>
      </c>
      <c r="L32" t="str">
        <f t="shared" si="2"/>
        <v>FR</v>
      </c>
      <c r="M32" t="str">
        <f t="shared" si="3"/>
        <v>Watch-Casio</v>
      </c>
      <c r="N32" s="23" t="str">
        <f t="shared" si="4"/>
        <v>09-07-2026</v>
      </c>
    </row>
    <row r="33" spans="10:14" ht="15.75" customHeight="1" x14ac:dyDescent="0.25">
      <c r="J33" t="str">
        <f t="shared" si="0"/>
        <v/>
      </c>
      <c r="N33" s="23"/>
    </row>
    <row r="34" spans="10:14" ht="15.75" customHeight="1" x14ac:dyDescent="0.25">
      <c r="J34" t="str">
        <f t="shared" si="0"/>
        <v/>
      </c>
      <c r="N34" s="23"/>
    </row>
    <row r="35" spans="10:14" ht="15.75" customHeight="1" x14ac:dyDescent="0.25">
      <c r="J35" t="str">
        <f t="shared" si="0"/>
        <v/>
      </c>
      <c r="N35" s="23"/>
    </row>
    <row r="36" spans="10:14" ht="15.75" customHeight="1" x14ac:dyDescent="0.25"/>
    <row r="37" spans="10:14" ht="15.75" customHeight="1" x14ac:dyDescent="0.25"/>
    <row r="38" spans="10:14" ht="15.75" customHeight="1" x14ac:dyDescent="0.25"/>
    <row r="39" spans="10:14" ht="15.75" customHeight="1" x14ac:dyDescent="0.25"/>
    <row r="40" spans="10:14" ht="15.75" customHeight="1" x14ac:dyDescent="0.25"/>
    <row r="41" spans="10:14" ht="15.75" customHeight="1" x14ac:dyDescent="0.25"/>
    <row r="42" spans="10:14" ht="15.75" customHeight="1" x14ac:dyDescent="0.25"/>
    <row r="43" spans="10:14" ht="15.75" customHeight="1" x14ac:dyDescent="0.25"/>
    <row r="44" spans="10:14" ht="15.75" customHeight="1" x14ac:dyDescent="0.25"/>
    <row r="45" spans="10:14" ht="15.75" customHeight="1" x14ac:dyDescent="0.25"/>
    <row r="46" spans="10:14" ht="15.75" customHeight="1" x14ac:dyDescent="0.25"/>
    <row r="47" spans="10:14" ht="15.75" customHeight="1" x14ac:dyDescent="0.25"/>
    <row r="48" spans="10:1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H35" xr:uid="{00000000-0001-0000-0100-000000000000}"/>
  <dataConsolidate/>
  <conditionalFormatting sqref="H1:H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{0729DF2D-0ECB-435E-A20C-C58387D1DBAE}</x14:id>
        </ext>
      </extLst>
    </cfRule>
  </conditionalFormatting>
  <conditionalFormatting sqref="I1:I1048576">
    <cfRule type="cellIs" dxfId="0" priority="1" operator="equal">
      <formula>"Electronics"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29DF2D-0ECB-435E-A20C-C58387D1DB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Shintu Babu</cp:lastModifiedBy>
  <dcterms:modified xsi:type="dcterms:W3CDTF">2026-04-03T17:22:22Z</dcterms:modified>
</cp:coreProperties>
</file>